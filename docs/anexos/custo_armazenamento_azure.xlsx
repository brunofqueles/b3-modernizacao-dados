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runo Queles\OneDrive - brunoqueles\Documentos\Documentos Pessoais\Transição de Carreira\Recolocação\Projeto_recolocação_2 semestre\Projeto_b3\b3-modernizacao-dados\"/>
    </mc:Choice>
  </mc:AlternateContent>
  <xr:revisionPtr revIDLastSave="0" documentId="8_{168745BF-36FF-4608-A4E4-637AB2F2C90C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Custo_Azure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1" i="1" l="1"/>
  <c r="B25" i="1" s="1"/>
  <c r="D25" i="1" l="1"/>
  <c r="C25" i="1"/>
  <c r="B13" i="1"/>
  <c r="B24" i="1"/>
  <c r="D24" i="1" l="1"/>
  <c r="D30" i="1" s="1"/>
  <c r="D31" i="1" s="1"/>
  <c r="C24" i="1"/>
  <c r="C30" i="1" s="1"/>
  <c r="C31" i="1" s="1"/>
  <c r="B26" i="1"/>
  <c r="B27" i="1"/>
  <c r="D27" i="1" l="1"/>
  <c r="C27" i="1"/>
  <c r="D26" i="1"/>
  <c r="D34" i="1" s="1"/>
  <c r="C2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9" authorId="0" shapeId="0" xr:uid="{00000000-0006-0000-0000-000001000000}">
      <text>
        <r>
          <rPr>
            <sz val="10"/>
            <rFont val="Arial"/>
            <family val="2"/>
          </rPr>
          <t>Fonte: preço público Azure Data Lake Storage Gen2, Hot tier, LRS, região padrão EUA (~$0.018/GB/mês), consolidado a partir de múltiplas fontes públicas em 01/09/2026.</t>
        </r>
      </text>
    </comment>
    <comment ref="B10" authorId="0" shapeId="0" xr:uid="{00000000-0006-0000-0000-000002000000}">
      <text>
        <r>
          <rPr>
            <sz val="10"/>
            <rFont val="Arial"/>
            <family val="2"/>
          </rPr>
          <t>ESTIMATIVA: calculadora oficial não expôs valor exato de Brazil South (página dinâmica) no momento da pesquisa. Prêmio conservador de 25% aplicado — confirmar na calculadora oficial antes de orçamento real.</t>
        </r>
      </text>
    </comment>
    <comment ref="B12" authorId="0" shapeId="0" xr:uid="{00000000-0006-0000-0000-000003000000}">
      <text>
        <r>
          <rPr>
            <sz val="10"/>
            <rFont val="Arial"/>
            <family val="2"/>
          </rPr>
          <t>Fonte: comparativos públicos de pricing Azure Storage mostram Cool tier tipicamente ~44% mais barato que Hot (ex.: $0.01 vs $0.018/GB nos EUA).</t>
        </r>
      </text>
    </comment>
    <comment ref="B14" authorId="0" shapeId="0" xr:uid="{00000000-0006-0000-0000-000004000000}">
      <text>
        <r>
          <rPr>
            <sz val="10"/>
            <rFont val="Arial"/>
            <family val="2"/>
          </rPr>
          <t>Fonte: múltiplas fontes públicas confirmam que GRS custa aproximadamente 2x o preço de LRS para a mesma camada de acesso.</t>
        </r>
      </text>
    </comment>
    <comment ref="B15" authorId="0" shapeId="0" xr:uid="{00000000-0006-0000-0000-000005000000}">
      <text>
        <r>
          <rPr>
            <sz val="10"/>
            <rFont val="Arial"/>
            <family val="2"/>
          </rPr>
          <t>Cotação USD/BRL aproximada em 01/09/2026 (câmbio comercial). Apenas referência de ordem de grandeza.</t>
        </r>
      </text>
    </comment>
    <comment ref="B19" authorId="0" shapeId="0" xr:uid="{00000000-0006-0000-0000-000006000000}">
      <text>
        <r>
          <rPr>
            <sz val="10"/>
            <rFont val="Arial"/>
            <family val="2"/>
          </rPr>
          <t>Valor trazido da planilha 'custo_armazenamento_databricks.xlsx' (mesmo cálculo bottom-up de volume, célula B44 daquele arquivo). Repetido aqui como input para manter esta planilha autossuficiente.</t>
        </r>
      </text>
    </comment>
    <comment ref="B20" authorId="0" shapeId="0" xr:uid="{00000000-0006-0000-0000-000007000000}">
      <text>
        <r>
          <rPr>
            <sz val="10"/>
            <rFont val="Arial"/>
            <family val="2"/>
          </rPr>
          <t>Valor trazido da planilha 'custo_armazenamento_databricks.xlsx' (mesmo cálculo bottom-up de volume, célula C44 daquele arquivo).</t>
        </r>
      </text>
    </comment>
  </commentList>
</comments>
</file>

<file path=xl/sharedStrings.xml><?xml version="1.0" encoding="utf-8"?>
<sst xmlns="http://schemas.openxmlformats.org/spreadsheetml/2006/main" count="35" uniqueCount="35">
  <si>
    <t>Simulação de Custo de Armazenamento — Lente Azure (Storage Account próprio, ADLS Gen2)</t>
  </si>
  <si>
    <t>Portfólio B3 — Modernização de Dados KNIME → Databricks | Gerado em 01/09/2026</t>
  </si>
  <si>
    <t>Nota conceitual</t>
  </si>
  <si>
    <t>Diferente do storage gerenciado pelo Unity Catalog (planilha 'Databricks', sempre Hot/LRS por padrão), provisionar a conta de armazenamento diretamente no Azure dá controle total sobre camada de acesso (Hot/Cool) e redundância (LRS/GRS) — permitindo, por exemplo, mover dados históricos mais antigos (ex.: Landing de meses anteriores) para a camada Cool, mais barata. A taxa base por GB é a mesma tecnologia (ADLS Gen2) em ambos os casos.</t>
  </si>
  <si>
    <t>Premissas de preço (editáveis — células em azul)</t>
  </si>
  <si>
    <t>Região simulada</t>
  </si>
  <si>
    <t>Brazil South</t>
  </si>
  <si>
    <t>Taxa base Hot/LRS — região padrão dos EUA (USD/GB/mês)</t>
  </si>
  <si>
    <t>Prêmio regional estimado para Brazil South</t>
  </si>
  <si>
    <t>Taxa estimada Hot/LRS em Brazil South (USD/GB/mês)</t>
  </si>
  <si>
    <t>Razão Cool vs. Hot (desconto observado no mercado)</t>
  </si>
  <si>
    <t>Taxa estimada Cool/LRS em Brazil South (USD/GB/mês)</t>
  </si>
  <si>
    <t>Multiplicador GRS vs. LRS (georredundância)</t>
  </si>
  <si>
    <t>Câmbio USD → BRL (assumido)</t>
  </si>
  <si>
    <t>Volume de dados simulado (mesma metodologia da planilha 'Databricks')</t>
  </si>
  <si>
    <t>Cenário</t>
  </si>
  <si>
    <t>Total (GB)</t>
  </si>
  <si>
    <t>Atual (4 tickers, 1 ano de histórico)</t>
  </si>
  <si>
    <t>Escala (500 tickers, 1 ano de histórico)</t>
  </si>
  <si>
    <t>Custo mensal por combinação de camada e redundância</t>
  </si>
  <si>
    <t>Combinação</t>
  </si>
  <si>
    <t>Taxa (USD/GB/mês)</t>
  </si>
  <si>
    <t>Atual — 4 tickers (USD/mês)</t>
  </si>
  <si>
    <t>Escala — 500 tickers (USD/mês)</t>
  </si>
  <si>
    <t>Hot / LRS</t>
  </si>
  <si>
    <t>Hot / GRS</t>
  </si>
  <si>
    <t>Cool / LRS</t>
  </si>
  <si>
    <t>Cool / GRS</t>
  </si>
  <si>
    <t>Custo anual — cenário recomendado (Hot / LRS, mesmo padrão do Databricks)</t>
  </si>
  <si>
    <t>Custo anual (USD)</t>
  </si>
  <si>
    <t>Custo anual (BRL)</t>
  </si>
  <si>
    <t>Economia potencial com otimização de tiering</t>
  </si>
  <si>
    <t>Economia Cool/LRS vs. Hot/LRS (%), cenário 500 tickers</t>
  </si>
  <si>
    <t>Conclusão FinOps</t>
  </si>
  <si>
    <t>Assim como na lente Databricks, o custo absoluto de armazenamento é irrisório em qualquer combinação simulada (sempre abaixo de US$ 0,02/mês mesmo em 500 tickers) — a diferença percentual entre Hot e Cool, ou entre LRS e GRS, é real em termos relativos, mas não representa economia prática em valor absoluto nesta escala. O valor desta simulação para o portfólio não é o número em si, mas demonstrar a competência de avaliar trade-offs de tier/redundância e projetar como a decisão mudaria de relevância em outro contexto de volume (ex.: se o projeto armazenasse séries históricas completas de todos os papéis da B3, ou dados de mercado em maior granularidade, tick a tick).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</si>
</sst>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$#,##0.0000"/>
    <numFmt numFmtId="165" formatCode="0.0\x"/>
    <numFmt numFmtId="166" formatCode="&quot;R$&quot;#,##0.00"/>
    <numFmt numFmtId="167" formatCode="0.0000"/>
    <numFmt numFmtId="168" formatCode="\$#,##0.00"/>
    <numFmt numFmtId="169" formatCode="0.0%"/>
  </numFmts>
  <fonts count="11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666666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b/>
      <sz val="10"/>
      <color rgb="FFFFFFFF"/>
      <name val="Arial"/>
      <charset val="1"/>
    </font>
    <font>
      <b/>
      <sz val="11"/>
      <color rgb="FF000000"/>
      <name val="Arial"/>
      <charset val="1"/>
    </font>
    <font>
      <i/>
      <sz val="10"/>
      <name val="Arial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B3D2E"/>
        <bgColor rgb="FF003366"/>
      </patternFill>
    </fill>
    <fill>
      <patternFill patternType="solid">
        <fgColor rgb="FF1F6E4A"/>
        <bgColor rgb="FF2E8B57"/>
      </patternFill>
    </fill>
    <fill>
      <patternFill patternType="solid">
        <fgColor rgb="FF2E8B57"/>
        <bgColor rgb="FF1F6E4A"/>
      </patternFill>
    </fill>
    <fill>
      <patternFill patternType="solid">
        <fgColor rgb="FFE2F0D9"/>
        <bgColor rgb="FFFFFF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9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3" fillId="3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2" fillId="0" borderId="0" xfId="0" applyFont="1"/>
    <xf numFmtId="0" fontId="4" fillId="0" borderId="0" xfId="0" applyFont="1"/>
    <xf numFmtId="0" fontId="5" fillId="0" borderId="0" xfId="0" applyFont="1"/>
    <xf numFmtId="9" fontId="5" fillId="0" borderId="0" xfId="0" applyNumberFormat="1" applyFont="1"/>
    <xf numFmtId="164" fontId="6" fillId="0" borderId="0" xfId="0" applyNumberFormat="1" applyFont="1"/>
    <xf numFmtId="165" fontId="5" fillId="0" borderId="0" xfId="0" applyNumberFormat="1" applyFont="1"/>
    <xf numFmtId="166" fontId="5" fillId="0" borderId="0" xfId="0" applyNumberFormat="1" applyFont="1"/>
    <xf numFmtId="0" fontId="7" fillId="4" borderId="1" xfId="0" applyFont="1" applyFill="1" applyBorder="1" applyAlignment="1">
      <alignment horizontal="center" vertical="center" wrapText="1"/>
    </xf>
    <xf numFmtId="167" fontId="5" fillId="0" borderId="0" xfId="0" applyNumberFormat="1" applyFont="1"/>
    <xf numFmtId="0" fontId="4" fillId="0" borderId="1" xfId="0" applyFont="1" applyBorder="1"/>
    <xf numFmtId="164" fontId="6" fillId="0" borderId="1" xfId="0" applyNumberFormat="1" applyFont="1" applyBorder="1"/>
    <xf numFmtId="168" fontId="8" fillId="5" borderId="0" xfId="0" applyNumberFormat="1" applyFont="1" applyFill="1"/>
    <xf numFmtId="166" fontId="8" fillId="5" borderId="0" xfId="0" applyNumberFormat="1" applyFont="1" applyFill="1"/>
    <xf numFmtId="169" fontId="8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E4A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8B57"/>
      <rgbColor rgb="FF0B3D2E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zoomScaleNormal="100" workbookViewId="0">
      <selection activeCell="D27" sqref="D27"/>
    </sheetView>
  </sheetViews>
  <sheetFormatPr defaultColWidth="8.7109375" defaultRowHeight="15" x14ac:dyDescent="0.25"/>
  <cols>
    <col min="1" max="1" width="42" customWidth="1"/>
    <col min="2" max="4" width="18" customWidth="1"/>
    <col min="5" max="5" width="35.7109375" customWidth="1"/>
  </cols>
  <sheetData>
    <row r="1" spans="1:5" ht="25.5" customHeight="1" x14ac:dyDescent="0.25">
      <c r="A1" s="4" t="s">
        <v>0</v>
      </c>
      <c r="B1" s="4"/>
      <c r="C1" s="4"/>
      <c r="D1" s="4"/>
      <c r="E1" s="4"/>
    </row>
    <row r="2" spans="1:5" x14ac:dyDescent="0.25">
      <c r="A2" s="5" t="s">
        <v>1</v>
      </c>
    </row>
    <row r="4" spans="1:5" ht="19.5" customHeight="1" x14ac:dyDescent="0.25">
      <c r="A4" s="3" t="s">
        <v>2</v>
      </c>
      <c r="B4" s="3"/>
      <c r="C4" s="3"/>
      <c r="D4" s="3"/>
      <c r="E4" s="3"/>
    </row>
    <row r="5" spans="1:5" ht="60" customHeight="1" x14ac:dyDescent="0.25">
      <c r="A5" s="2" t="s">
        <v>3</v>
      </c>
      <c r="B5" s="2"/>
      <c r="C5" s="2"/>
      <c r="D5" s="2"/>
      <c r="E5" s="2"/>
    </row>
    <row r="7" spans="1:5" ht="19.5" customHeight="1" x14ac:dyDescent="0.25">
      <c r="A7" s="3" t="s">
        <v>4</v>
      </c>
      <c r="B7" s="3"/>
      <c r="C7" s="3"/>
      <c r="D7" s="3"/>
      <c r="E7" s="3"/>
    </row>
    <row r="8" spans="1:5" x14ac:dyDescent="0.25">
      <c r="A8" s="6" t="s">
        <v>5</v>
      </c>
      <c r="B8" s="7" t="s">
        <v>6</v>
      </c>
    </row>
    <row r="9" spans="1:5" x14ac:dyDescent="0.25">
      <c r="A9" s="6" t="s">
        <v>7</v>
      </c>
      <c r="B9" s="7">
        <v>1.7999999999999999E-2</v>
      </c>
    </row>
    <row r="10" spans="1:5" x14ac:dyDescent="0.25">
      <c r="A10" s="6" t="s">
        <v>8</v>
      </c>
      <c r="B10" s="8">
        <v>0.25</v>
      </c>
    </row>
    <row r="11" spans="1:5" x14ac:dyDescent="0.25">
      <c r="A11" s="6" t="s">
        <v>9</v>
      </c>
      <c r="B11" s="9">
        <f>B9*(1+B10)</f>
        <v>2.2499999999999999E-2</v>
      </c>
    </row>
    <row r="12" spans="1:5" x14ac:dyDescent="0.25">
      <c r="A12" s="6" t="s">
        <v>10</v>
      </c>
      <c r="B12" s="8">
        <v>0.44</v>
      </c>
    </row>
    <row r="13" spans="1:5" x14ac:dyDescent="0.25">
      <c r="A13" s="6" t="s">
        <v>11</v>
      </c>
      <c r="B13" s="9">
        <f>B11*(1-B12)</f>
        <v>1.26E-2</v>
      </c>
    </row>
    <row r="14" spans="1:5" x14ac:dyDescent="0.25">
      <c r="A14" s="6" t="s">
        <v>12</v>
      </c>
      <c r="B14" s="10">
        <v>2</v>
      </c>
    </row>
    <row r="15" spans="1:5" x14ac:dyDescent="0.25">
      <c r="A15" s="6" t="s">
        <v>13</v>
      </c>
      <c r="B15" s="11">
        <v>5.19</v>
      </c>
    </row>
    <row r="17" spans="1:5" ht="19.5" customHeight="1" x14ac:dyDescent="0.25">
      <c r="A17" s="3" t="s">
        <v>14</v>
      </c>
      <c r="B17" s="3"/>
      <c r="C17" s="3"/>
      <c r="D17" s="3"/>
      <c r="E17" s="3"/>
    </row>
    <row r="18" spans="1:5" x14ac:dyDescent="0.25">
      <c r="A18" s="12" t="s">
        <v>15</v>
      </c>
      <c r="B18" s="12" t="s">
        <v>16</v>
      </c>
    </row>
    <row r="19" spans="1:5" x14ac:dyDescent="0.25">
      <c r="A19" s="6" t="s">
        <v>17</v>
      </c>
      <c r="B19" s="13">
        <v>0.1007</v>
      </c>
    </row>
    <row r="20" spans="1:5" x14ac:dyDescent="0.25">
      <c r="A20" s="6" t="s">
        <v>18</v>
      </c>
      <c r="B20" s="13">
        <v>0.40579999999999999</v>
      </c>
    </row>
    <row r="22" spans="1:5" ht="19.5" customHeight="1" x14ac:dyDescent="0.25">
      <c r="A22" s="3" t="s">
        <v>19</v>
      </c>
      <c r="B22" s="3"/>
      <c r="C22" s="3"/>
      <c r="D22" s="3"/>
      <c r="E22" s="3"/>
    </row>
    <row r="23" spans="1:5" ht="25.5" x14ac:dyDescent="0.25">
      <c r="A23" s="12" t="s">
        <v>20</v>
      </c>
      <c r="B23" s="12" t="s">
        <v>21</v>
      </c>
      <c r="C23" s="12" t="s">
        <v>22</v>
      </c>
      <c r="D23" s="12" t="s">
        <v>23</v>
      </c>
    </row>
    <row r="24" spans="1:5" x14ac:dyDescent="0.25">
      <c r="A24" s="14" t="s">
        <v>24</v>
      </c>
      <c r="B24" s="15">
        <f>$B$11</f>
        <v>2.2499999999999999E-2</v>
      </c>
      <c r="C24" s="15">
        <f>$B$19*B24</f>
        <v>2.26575E-3</v>
      </c>
      <c r="D24" s="15">
        <f>$B$20*B24</f>
        <v>9.1304999999999997E-3</v>
      </c>
    </row>
    <row r="25" spans="1:5" x14ac:dyDescent="0.25">
      <c r="A25" s="14" t="s">
        <v>25</v>
      </c>
      <c r="B25" s="15">
        <f>$B$11*$B$14</f>
        <v>4.4999999999999998E-2</v>
      </c>
      <c r="C25" s="15">
        <f>$B$19*B25</f>
        <v>4.5314999999999999E-3</v>
      </c>
      <c r="D25" s="15">
        <f>$B$20*B25</f>
        <v>1.8260999999999999E-2</v>
      </c>
    </row>
    <row r="26" spans="1:5" x14ac:dyDescent="0.25">
      <c r="A26" s="14" t="s">
        <v>26</v>
      </c>
      <c r="B26" s="15">
        <f>$B$13</f>
        <v>1.26E-2</v>
      </c>
      <c r="C26" s="15">
        <f>$B$19*B26</f>
        <v>1.2688199999999999E-3</v>
      </c>
      <c r="D26" s="15">
        <f>$B$20*B26</f>
        <v>5.1130799999999999E-3</v>
      </c>
    </row>
    <row r="27" spans="1:5" x14ac:dyDescent="0.25">
      <c r="A27" s="14" t="s">
        <v>27</v>
      </c>
      <c r="B27" s="15">
        <f>$B$13*$B$14</f>
        <v>2.52E-2</v>
      </c>
      <c r="C27" s="15">
        <f>$B$19*B27</f>
        <v>2.5376399999999999E-3</v>
      </c>
      <c r="D27" s="15">
        <f>$B$20*B27</f>
        <v>1.022616E-2</v>
      </c>
    </row>
    <row r="29" spans="1:5" ht="19.5" customHeight="1" x14ac:dyDescent="0.25">
      <c r="A29" s="3" t="s">
        <v>28</v>
      </c>
      <c r="B29" s="3"/>
      <c r="C29" s="3"/>
      <c r="D29" s="3"/>
      <c r="E29" s="3"/>
    </row>
    <row r="30" spans="1:5" x14ac:dyDescent="0.25">
      <c r="A30" s="6" t="s">
        <v>29</v>
      </c>
      <c r="C30" s="16">
        <f>C24*12</f>
        <v>2.7188999999999998E-2</v>
      </c>
      <c r="D30" s="16">
        <f>D24*12</f>
        <v>0.109566</v>
      </c>
    </row>
    <row r="31" spans="1:5" x14ac:dyDescent="0.25">
      <c r="A31" s="6" t="s">
        <v>30</v>
      </c>
      <c r="C31" s="17">
        <f>C30*$B$15</f>
        <v>0.14111091000000001</v>
      </c>
      <c r="D31" s="17">
        <f>D30*$B$15</f>
        <v>0.56864754000000006</v>
      </c>
    </row>
    <row r="33" spans="1:5" ht="19.5" customHeight="1" x14ac:dyDescent="0.25">
      <c r="A33" s="3" t="s">
        <v>31</v>
      </c>
      <c r="B33" s="3"/>
      <c r="C33" s="3"/>
      <c r="D33" s="3"/>
      <c r="E33" s="3"/>
    </row>
    <row r="34" spans="1:5" x14ac:dyDescent="0.25">
      <c r="A34" s="6" t="s">
        <v>32</v>
      </c>
      <c r="D34" s="18">
        <f>1-(D26/D24)</f>
        <v>0.43999999999999995</v>
      </c>
    </row>
    <row r="36" spans="1:5" ht="19.5" customHeight="1" x14ac:dyDescent="0.25">
      <c r="A36" s="3" t="s">
        <v>33</v>
      </c>
      <c r="B36" s="3"/>
      <c r="C36" s="3"/>
      <c r="D36" s="3"/>
      <c r="E36" s="3"/>
    </row>
    <row r="37" spans="1:5" ht="99.75" customHeight="1" x14ac:dyDescent="0.25">
      <c r="A37" s="1" t="s">
        <v>34</v>
      </c>
      <c r="B37" s="1"/>
      <c r="C37" s="1"/>
      <c r="D37" s="1"/>
      <c r="E37" s="1"/>
    </row>
    <row r="38" spans="1:5" x14ac:dyDescent="0.25">
      <c r="A38" s="1"/>
      <c r="B38" s="1"/>
      <c r="C38" s="1"/>
      <c r="D38" s="1"/>
      <c r="E38" s="1"/>
    </row>
    <row r="39" spans="1:5" x14ac:dyDescent="0.25">
      <c r="A39" s="1"/>
      <c r="B39" s="1"/>
      <c r="C39" s="1"/>
      <c r="D39" s="1"/>
      <c r="E39" s="1"/>
    </row>
    <row r="40" spans="1:5" x14ac:dyDescent="0.25">
      <c r="A40" s="1"/>
      <c r="B40" s="1"/>
      <c r="C40" s="1"/>
      <c r="D40" s="1"/>
      <c r="E40" s="1"/>
    </row>
    <row r="41" spans="1:5" x14ac:dyDescent="0.25">
      <c r="A41" s="1"/>
      <c r="B41" s="1"/>
      <c r="C41" s="1"/>
      <c r="D41" s="1"/>
      <c r="E41" s="1"/>
    </row>
  </sheetData>
  <mergeCells count="10">
    <mergeCell ref="A22:E22"/>
    <mergeCell ref="A29:E29"/>
    <mergeCell ref="A33:E33"/>
    <mergeCell ref="A36:E36"/>
    <mergeCell ref="A37:E41"/>
    <mergeCell ref="A1:E1"/>
    <mergeCell ref="A4:E4"/>
    <mergeCell ref="A5:E5"/>
    <mergeCell ref="A7:E7"/>
    <mergeCell ref="A17:E17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Custo_Azure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Bruno Queles</cp:lastModifiedBy>
  <cp:revision>0</cp:revision>
  <dcterms:created xsi:type="dcterms:W3CDTF">2026-09-01T20:36:05Z</dcterms:created>
  <dcterms:modified xsi:type="dcterms:W3CDTF">2026-09-01T20:40:45Z</dcterms:modified>
  <dc:language>en-US</dc:language>
</cp:coreProperties>
</file>