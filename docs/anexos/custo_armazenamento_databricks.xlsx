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runo Queles\OneDrive - brunoqueles\Documentos\Documentos Pessoais\Transição de Carreira\Recolocação\Projeto_recolocação_2 semestre\Projeto_b3\b3-modernizacao-dados\"/>
    </mc:Choice>
  </mc:AlternateContent>
  <xr:revisionPtr revIDLastSave="0" documentId="8_{33E9EBF8-F658-4913-BA36-21685D78471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Custo_Databrick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8" i="1" l="1"/>
  <c r="B36" i="1" s="1"/>
  <c r="C27" i="1"/>
  <c r="C35" i="1" s="1"/>
  <c r="B13" i="1"/>
  <c r="B35" i="1" l="1"/>
  <c r="B37" i="1" s="1"/>
  <c r="B38" i="1" s="1"/>
  <c r="B42" i="1" s="1"/>
  <c r="C36" i="1"/>
  <c r="C37" i="1" s="1"/>
  <c r="C38" i="1" s="1"/>
  <c r="C42" i="1" s="1"/>
  <c r="C44" i="1" l="1"/>
  <c r="C43" i="1"/>
  <c r="C45" i="1" s="1"/>
  <c r="B44" i="1"/>
  <c r="B43" i="1"/>
  <c r="B4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11" authorId="0" shapeId="0" xr:uid="{00000000-0006-0000-0000-000001000000}">
      <text>
        <r>
          <rPr>
            <sz val="10"/>
            <rFont val="Arial"/>
            <family val="2"/>
          </rPr>
          <t>Fonte: preço público Azure Data Lake Storage Gen2, Hot tier, LRS, região padrão EUA (~$0.018/GB/mês), consolidado a partir de múltiplas fontes públicas em 01/09/2026.</t>
        </r>
      </text>
    </comment>
    <comment ref="B12" authorId="0" shapeId="0" xr:uid="{00000000-0006-0000-0000-000002000000}">
      <text>
        <r>
          <rPr>
            <sz val="10"/>
            <rFont val="Arial"/>
            <family val="2"/>
          </rPr>
          <t>ESTIMATIVA: a calculadora oficial da Azure não expôs o valor exato de Brazil South no momento da pesquisa (página dinâmica). Aplicado um prêmio regional conservador de 25%, com base em relatos públicos de que regiões fora dos EUA tendem a ser mais caras. Recomenda-se confirmar na calculadora oficial antes de decisão real de orçamento.</t>
        </r>
      </text>
    </comment>
    <comment ref="B14" authorId="0" shapeId="0" xr:uid="{00000000-0006-0000-0000-000003000000}">
      <text>
        <r>
          <rPr>
            <sz val="10"/>
            <rFont val="Arial"/>
            <family val="2"/>
          </rPr>
          <t>Cotação USD/BRL aproximada em 01/09/2026 (câmbio comercial). Não é cotação em tempo real — apenas referência para ordem de grandeza.</t>
        </r>
      </text>
    </comment>
    <comment ref="B34" authorId="0" shapeId="0" xr:uid="{00000000-0006-0000-0000-000004000000}">
      <text>
        <r>
          <rPr>
            <sz val="10"/>
            <rFont val="Arial"/>
            <family val="2"/>
          </rPr>
          <t>Estimativa conservadora: transaction logs e checkpoints do Delta Lake, notebooks do repositório, metadados do Unity Catalog. Escala pouco com a quantidade de tickers (depende mais do número de execuções/commits do que do volume de dados).</t>
        </r>
      </text>
    </comment>
  </commentList>
</comments>
</file>

<file path=xl/sharedStrings.xml><?xml version="1.0" encoding="utf-8"?>
<sst xmlns="http://schemas.openxmlformats.org/spreadsheetml/2006/main" count="71" uniqueCount="59">
  <si>
    <t>Simulação de Custo de Armazenamento — Lente Databricks (Unity Catalog Managed Storage)</t>
  </si>
  <si>
    <t>Portfólio B3 — Modernização de Dados KNIME → Databricks | Gerado em 01/09/2026</t>
  </si>
  <si>
    <t>Nota conceitual</t>
  </si>
  <si>
    <t>O Databricks não possui armazenamento próprio: tabelas Delta gerenciadas pelo Unity Catalog usam, por baixo, o armazenamento em nuvem do provedor (aqui, Azure Data Lake Storage Gen2). Não existe uma linha de preço de armazenamento específica do Databricks — o custo é o mesmo do storage subjacente. Esta simulação representa o cenário 'padrão' (Hot, LRS), como o Unity Catalog provisiona por padrão, sem otimização manual de camada.</t>
  </si>
  <si>
    <t>Premissas de preço (editáveis — células em azul)</t>
  </si>
  <si>
    <t>Região simulada</t>
  </si>
  <si>
    <t>Brazil South</t>
  </si>
  <si>
    <t>Camada de acesso</t>
  </si>
  <si>
    <t>Hot</t>
  </si>
  <si>
    <t>Redundância</t>
  </si>
  <si>
    <t>LRS (locally redundant)</t>
  </si>
  <si>
    <t>Taxa base Hot/LRS — região padrão dos EUA (USD/GB/mês)</t>
  </si>
  <si>
    <t>Prêmio regional estimado para Brazil South</t>
  </si>
  <si>
    <t>Taxa estimada Hot/LRS em Brazil South (USD/GB/mês)</t>
  </si>
  <si>
    <t>Câmbio USD → BRL (assumido)</t>
  </si>
  <si>
    <t>Volume de dados — cálculo de baixo para cima (por camada)</t>
  </si>
  <si>
    <t>Camada</t>
  </si>
  <si>
    <t>Tipo</t>
  </si>
  <si>
    <t>KB / ticker-dia</t>
  </si>
  <si>
    <t>KB / dia (agregado)</t>
  </si>
  <si>
    <t>Fonte / observação</t>
  </si>
  <si>
    <t>Landing (JSON bruto)</t>
  </si>
  <si>
    <t>Ticker-dependente</t>
  </si>
  <si>
    <t>Tamanho real observado: 4.32 KB para 4 tickers em um dia (arquivo cotacoes_*.json)</t>
  </si>
  <si>
    <t>Bronze (cotacoes)</t>
  </si>
  <si>
    <t>Estimado: dados + parcela amortizada do overhead de log/checkpoint Delta</t>
  </si>
  <si>
    <t>Silver (cotacoes + quarentena)</t>
  </si>
  <si>
    <t>Estimado a partir do schema das duas tabelas</t>
  </si>
  <si>
    <t>Gold — indicadores_diarios</t>
  </si>
  <si>
    <t>Estimado a partir do schema (5 colunas por linha)</t>
  </si>
  <si>
    <t>Reconciliation — resultado_detalhado</t>
  </si>
  <si>
    <t>Estimado a partir do schema (7 colunas por linha)</t>
  </si>
  <si>
    <t>Gold — indice_proxy</t>
  </si>
  <si>
    <t>Agregado por dia</t>
  </si>
  <si>
    <t>1 linha/dia, independe da quantidade de tickers</t>
  </si>
  <si>
    <t>Gold — indice_acumulado</t>
  </si>
  <si>
    <t>Reconciliation — resultado_indice</t>
  </si>
  <si>
    <t>Observability — pipeline_runs</t>
  </si>
  <si>
    <t>6 Tasks/dia × ~0.3 KB por registro de execução</t>
  </si>
  <si>
    <t>Subtotal ticker-dependente (KB/ticker-dia)</t>
  </si>
  <si>
    <t>Subtotal agregado por dia (KB/dia)</t>
  </si>
  <si>
    <t>Cenários simulados</t>
  </si>
  <si>
    <t>Parâmetro</t>
  </si>
  <si>
    <t>Atual (4 tickers)</t>
  </si>
  <si>
    <t>Escala (500 tickers)</t>
  </si>
  <si>
    <t>Quantidade de tickers</t>
  </si>
  <si>
    <t>Dias de pregão simulados (1 ano)</t>
  </si>
  <si>
    <t>Overhead fixo (logs Delta, notebooks, metadados Unity Catalog) — MB</t>
  </si>
  <si>
    <t>Volume ticker-dependente (MB)</t>
  </si>
  <si>
    <t>Volume agregado por dia (MB)</t>
  </si>
  <si>
    <t>Total (MB)</t>
  </si>
  <si>
    <t>Total (GB)</t>
  </si>
  <si>
    <t>Custo de armazenamento estimado</t>
  </si>
  <si>
    <t>Custo mensal (USD)</t>
  </si>
  <si>
    <t>Custo mensal (BRL)</t>
  </si>
  <si>
    <t>Custo anual (USD)</t>
  </si>
  <si>
    <t>Custo anual (BRL)</t>
  </si>
  <si>
    <t>Conclusão FinOps</t>
  </si>
  <si>
    <t>O custo de armazenamento deste workload é irrisório em qualquer escala simulada — mesmo em 500 tickers com 1 ano de histórico, o total fica abaixo de 0,5 GB, resultando em custo mensal na casa de centavos de dólar. Isso é esperado: o projeto lida com dados estruturados e pequenos (cotações diárias), não com volume massivo (imagens, logs brutos, streaming contínuo). Numa eventual operação paga, o driver real de custo seria o COMPUTE (DBU do Databricks + VM do Azure), não o armazenamento — recomenda-se que qualquer simulação de FinOps futura priorize modelar o custo de compute, onde a decisão de arquitetura (frequência de execução, tamanho de cluster, Serverless vs. cluster dedicado) tem impacto financeiro real, ao contrário do armazenamento.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</si>
</sst>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.0000"/>
    <numFmt numFmtId="165" formatCode="&quot;R$&quot;#,##0.00"/>
    <numFmt numFmtId="166" formatCode="0.0000"/>
    <numFmt numFmtId="167" formatCode="&quot;R$&quot;#,##0.0000"/>
    <numFmt numFmtId="168" formatCode="\$#,##0.00"/>
  </numFmts>
  <fonts count="1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666666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b/>
      <sz val="11"/>
      <color rgb="FF000000"/>
      <name val="Arial"/>
      <charset val="1"/>
    </font>
    <font>
      <i/>
      <sz val="10"/>
      <name val="Arial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A1A2E"/>
        <bgColor rgb="FF003300"/>
      </patternFill>
    </fill>
    <fill>
      <patternFill patternType="solid">
        <fgColor rgb="FF2C3E6B"/>
        <bgColor rgb="FF44546A"/>
      </patternFill>
    </fill>
    <fill>
      <patternFill patternType="solid">
        <fgColor rgb="FF44546A"/>
        <bgColor rgb="FF2C3E6B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0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3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top" wrapText="1"/>
    </xf>
    <xf numFmtId="0" fontId="4" fillId="0" borderId="0" xfId="0" applyFont="1"/>
    <xf numFmtId="0" fontId="5" fillId="0" borderId="0" xfId="0" applyFont="1"/>
    <xf numFmtId="9" fontId="5" fillId="0" borderId="0" xfId="0" applyNumberFormat="1" applyFont="1"/>
    <xf numFmtId="164" fontId="6" fillId="0" borderId="0" xfId="0" applyNumberFormat="1" applyFont="1"/>
    <xf numFmtId="165" fontId="5" fillId="0" borderId="0" xfId="0" applyNumberFormat="1" applyFont="1"/>
    <xf numFmtId="0" fontId="7" fillId="4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2" fontId="5" fillId="0" borderId="1" xfId="0" applyNumberFormat="1" applyFont="1" applyBorder="1"/>
    <xf numFmtId="0" fontId="2" fillId="0" borderId="0" xfId="0" applyFont="1" applyAlignment="1">
      <alignment vertical="top" wrapText="1"/>
    </xf>
    <xf numFmtId="0" fontId="8" fillId="0" borderId="0" xfId="0" applyFont="1"/>
    <xf numFmtId="2" fontId="8" fillId="0" borderId="0" xfId="0" applyNumberFormat="1" applyFont="1"/>
    <xf numFmtId="2" fontId="6" fillId="0" borderId="0" xfId="0" applyNumberFormat="1" applyFont="1"/>
    <xf numFmtId="0" fontId="9" fillId="5" borderId="0" xfId="0" applyFont="1" applyFill="1"/>
    <xf numFmtId="166" fontId="9" fillId="5" borderId="0" xfId="0" applyNumberFormat="1" applyFont="1" applyFill="1"/>
    <xf numFmtId="167" fontId="6" fillId="0" borderId="0" xfId="0" applyNumberFormat="1" applyFont="1"/>
    <xf numFmtId="168" fontId="9" fillId="5" borderId="0" xfId="0" applyNumberFormat="1" applyFont="1" applyFill="1"/>
    <xf numFmtId="165" fontId="9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44546A"/>
      <rgbColor rgb="FF993300"/>
      <rgbColor rgb="FF993366"/>
      <rgbColor rgb="FF2C3E6B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zoomScaleNormal="100" workbookViewId="0">
      <selection sqref="A1:G1"/>
    </sheetView>
  </sheetViews>
  <sheetFormatPr defaultColWidth="8.7109375" defaultRowHeight="15" x14ac:dyDescent="0.25"/>
  <cols>
    <col min="1" max="1" width="34" customWidth="1"/>
    <col min="2" max="6" width="16" customWidth="1"/>
    <col min="7" max="7" width="40" customWidth="1"/>
  </cols>
  <sheetData>
    <row r="1" spans="1:7" ht="25.5" customHeight="1" x14ac:dyDescent="0.25">
      <c r="A1" s="4" t="s">
        <v>0</v>
      </c>
      <c r="B1" s="4"/>
      <c r="C1" s="4"/>
      <c r="D1" s="4"/>
      <c r="E1" s="4"/>
      <c r="F1" s="4"/>
      <c r="G1" s="4"/>
    </row>
    <row r="2" spans="1:7" ht="36" x14ac:dyDescent="0.25">
      <c r="A2" s="5" t="s">
        <v>1</v>
      </c>
    </row>
    <row r="4" spans="1:7" ht="19.5" customHeight="1" x14ac:dyDescent="0.25">
      <c r="A4" s="3" t="s">
        <v>2</v>
      </c>
      <c r="B4" s="3"/>
      <c r="C4" s="3"/>
      <c r="D4" s="3"/>
      <c r="E4" s="3"/>
      <c r="F4" s="3"/>
      <c r="G4" s="3"/>
    </row>
    <row r="5" spans="1:7" ht="60" customHeight="1" x14ac:dyDescent="0.25">
      <c r="A5" s="2" t="s">
        <v>3</v>
      </c>
      <c r="B5" s="2"/>
      <c r="C5" s="2"/>
      <c r="D5" s="2"/>
      <c r="E5" s="2"/>
      <c r="F5" s="2"/>
      <c r="G5" s="2"/>
    </row>
    <row r="7" spans="1:7" ht="19.5" customHeight="1" x14ac:dyDescent="0.25">
      <c r="A7" s="3" t="s">
        <v>4</v>
      </c>
      <c r="B7" s="3"/>
      <c r="C7" s="3"/>
      <c r="D7" s="3"/>
      <c r="E7" s="3"/>
      <c r="F7" s="3"/>
      <c r="G7" s="3"/>
    </row>
    <row r="8" spans="1:7" x14ac:dyDescent="0.25">
      <c r="A8" s="6" t="s">
        <v>5</v>
      </c>
      <c r="B8" s="7" t="s">
        <v>6</v>
      </c>
    </row>
    <row r="9" spans="1:7" x14ac:dyDescent="0.25">
      <c r="A9" s="6" t="s">
        <v>7</v>
      </c>
      <c r="B9" s="7" t="s">
        <v>8</v>
      </c>
    </row>
    <row r="10" spans="1:7" x14ac:dyDescent="0.25">
      <c r="A10" s="6" t="s">
        <v>9</v>
      </c>
      <c r="B10" s="7" t="s">
        <v>10</v>
      </c>
    </row>
    <row r="11" spans="1:7" x14ac:dyDescent="0.25">
      <c r="A11" s="6" t="s">
        <v>11</v>
      </c>
      <c r="B11" s="7">
        <v>1.7999999999999999E-2</v>
      </c>
    </row>
    <row r="12" spans="1:7" x14ac:dyDescent="0.25">
      <c r="A12" s="6" t="s">
        <v>12</v>
      </c>
      <c r="B12" s="8">
        <v>0.25</v>
      </c>
    </row>
    <row r="13" spans="1:7" x14ac:dyDescent="0.25">
      <c r="A13" s="6" t="s">
        <v>13</v>
      </c>
      <c r="B13" s="9">
        <f>B11*(1+B12)</f>
        <v>2.2499999999999999E-2</v>
      </c>
    </row>
    <row r="14" spans="1:7" x14ac:dyDescent="0.25">
      <c r="A14" s="6" t="s">
        <v>14</v>
      </c>
      <c r="B14" s="10">
        <v>5.19</v>
      </c>
    </row>
    <row r="16" spans="1:7" ht="19.5" customHeight="1" x14ac:dyDescent="0.25">
      <c r="A16" s="3" t="s">
        <v>15</v>
      </c>
      <c r="B16" s="3"/>
      <c r="C16" s="3"/>
      <c r="D16" s="3"/>
      <c r="E16" s="3"/>
      <c r="F16" s="3"/>
      <c r="G16" s="3"/>
    </row>
    <row r="17" spans="1:7" ht="25.5" x14ac:dyDescent="0.25">
      <c r="A17" s="11" t="s">
        <v>16</v>
      </c>
      <c r="B17" s="11" t="s">
        <v>17</v>
      </c>
      <c r="C17" s="11" t="s">
        <v>18</v>
      </c>
      <c r="D17" s="11" t="s">
        <v>19</v>
      </c>
      <c r="E17" s="11"/>
      <c r="F17" s="11"/>
      <c r="G17" s="11" t="s">
        <v>20</v>
      </c>
    </row>
    <row r="18" spans="1:7" ht="24" x14ac:dyDescent="0.25">
      <c r="A18" s="12" t="s">
        <v>21</v>
      </c>
      <c r="B18" s="12" t="s">
        <v>22</v>
      </c>
      <c r="C18" s="13">
        <v>1.08</v>
      </c>
      <c r="D18" s="13"/>
      <c r="G18" s="14" t="s">
        <v>23</v>
      </c>
    </row>
    <row r="19" spans="1:7" ht="24" x14ac:dyDescent="0.25">
      <c r="A19" s="12" t="s">
        <v>24</v>
      </c>
      <c r="B19" s="12" t="s">
        <v>22</v>
      </c>
      <c r="C19" s="13">
        <v>0.5</v>
      </c>
      <c r="D19" s="13"/>
      <c r="G19" s="14" t="s">
        <v>25</v>
      </c>
    </row>
    <row r="20" spans="1:7" x14ac:dyDescent="0.25">
      <c r="A20" s="12" t="s">
        <v>26</v>
      </c>
      <c r="B20" s="12" t="s">
        <v>22</v>
      </c>
      <c r="C20" s="13">
        <v>0.4</v>
      </c>
      <c r="D20" s="13"/>
      <c r="G20" s="14" t="s">
        <v>27</v>
      </c>
    </row>
    <row r="21" spans="1:7" ht="24" x14ac:dyDescent="0.25">
      <c r="A21" s="12" t="s">
        <v>28</v>
      </c>
      <c r="B21" s="12" t="s">
        <v>22</v>
      </c>
      <c r="C21" s="13">
        <v>0.3</v>
      </c>
      <c r="D21" s="13"/>
      <c r="G21" s="14" t="s">
        <v>29</v>
      </c>
    </row>
    <row r="22" spans="1:7" ht="24" x14ac:dyDescent="0.25">
      <c r="A22" s="12" t="s">
        <v>30</v>
      </c>
      <c r="B22" s="12" t="s">
        <v>22</v>
      </c>
      <c r="C22" s="13">
        <v>0.3</v>
      </c>
      <c r="D22" s="13"/>
      <c r="G22" s="14" t="s">
        <v>31</v>
      </c>
    </row>
    <row r="23" spans="1:7" x14ac:dyDescent="0.25">
      <c r="A23" s="12" t="s">
        <v>32</v>
      </c>
      <c r="B23" s="12" t="s">
        <v>33</v>
      </c>
      <c r="C23" s="13"/>
      <c r="D23" s="13">
        <v>0.15</v>
      </c>
      <c r="G23" s="14" t="s">
        <v>34</v>
      </c>
    </row>
    <row r="24" spans="1:7" x14ac:dyDescent="0.25">
      <c r="A24" s="12" t="s">
        <v>35</v>
      </c>
      <c r="B24" s="12" t="s">
        <v>33</v>
      </c>
      <c r="C24" s="13"/>
      <c r="D24" s="13">
        <v>0.15</v>
      </c>
      <c r="G24" s="14" t="s">
        <v>34</v>
      </c>
    </row>
    <row r="25" spans="1:7" x14ac:dyDescent="0.25">
      <c r="A25" s="12" t="s">
        <v>36</v>
      </c>
      <c r="B25" s="12" t="s">
        <v>33</v>
      </c>
      <c r="C25" s="13"/>
      <c r="D25" s="13">
        <v>0.2</v>
      </c>
      <c r="G25" s="14" t="s">
        <v>34</v>
      </c>
    </row>
    <row r="26" spans="1:7" x14ac:dyDescent="0.25">
      <c r="A26" s="12" t="s">
        <v>37</v>
      </c>
      <c r="B26" s="12" t="s">
        <v>33</v>
      </c>
      <c r="C26" s="13"/>
      <c r="D26" s="13">
        <v>1.8</v>
      </c>
      <c r="G26" s="14" t="s">
        <v>38</v>
      </c>
    </row>
    <row r="27" spans="1:7" x14ac:dyDescent="0.25">
      <c r="A27" s="15" t="s">
        <v>39</v>
      </c>
      <c r="C27" s="16">
        <f>SUM(C18:C26)</f>
        <v>2.5799999999999996</v>
      </c>
    </row>
    <row r="28" spans="1:7" x14ac:dyDescent="0.25">
      <c r="A28" s="15" t="s">
        <v>40</v>
      </c>
      <c r="D28" s="16">
        <f>SUM(D18:D26)</f>
        <v>2.2999999999999998</v>
      </c>
    </row>
    <row r="30" spans="1:7" ht="19.5" customHeight="1" x14ac:dyDescent="0.25">
      <c r="A30" s="3" t="s">
        <v>41</v>
      </c>
      <c r="B30" s="3"/>
      <c r="C30" s="3"/>
      <c r="D30" s="3"/>
      <c r="E30" s="3"/>
      <c r="F30" s="3"/>
      <c r="G30" s="3"/>
    </row>
    <row r="31" spans="1:7" ht="25.5" x14ac:dyDescent="0.25">
      <c r="A31" s="11" t="s">
        <v>42</v>
      </c>
      <c r="B31" s="11" t="s">
        <v>43</v>
      </c>
      <c r="C31" s="11" t="s">
        <v>44</v>
      </c>
    </row>
    <row r="32" spans="1:7" x14ac:dyDescent="0.25">
      <c r="A32" s="6" t="s">
        <v>45</v>
      </c>
      <c r="B32" s="7">
        <v>4</v>
      </c>
      <c r="C32" s="7">
        <v>500</v>
      </c>
    </row>
    <row r="33" spans="1:7" x14ac:dyDescent="0.25">
      <c r="A33" s="6" t="s">
        <v>46</v>
      </c>
      <c r="B33" s="7">
        <v>250</v>
      </c>
      <c r="C33" s="7">
        <v>250</v>
      </c>
    </row>
    <row r="34" spans="1:7" x14ac:dyDescent="0.25">
      <c r="A34" s="6" t="s">
        <v>47</v>
      </c>
      <c r="B34" s="7">
        <v>100</v>
      </c>
      <c r="C34" s="7">
        <v>100</v>
      </c>
    </row>
    <row r="35" spans="1:7" x14ac:dyDescent="0.25">
      <c r="A35" s="6" t="s">
        <v>48</v>
      </c>
      <c r="B35" s="17">
        <f>C27*B32*B33/1024</f>
        <v>2.5195312499999996</v>
      </c>
      <c r="C35" s="17">
        <f>C27*C32*C33/1024</f>
        <v>314.94140624999994</v>
      </c>
    </row>
    <row r="36" spans="1:7" x14ac:dyDescent="0.25">
      <c r="A36" s="6" t="s">
        <v>49</v>
      </c>
      <c r="B36" s="17">
        <f>$D$28*B33/1024</f>
        <v>0.5615234375</v>
      </c>
      <c r="C36" s="17">
        <f>$D$28*C33/1024</f>
        <v>0.5615234375</v>
      </c>
    </row>
    <row r="37" spans="1:7" x14ac:dyDescent="0.25">
      <c r="A37" s="15" t="s">
        <v>50</v>
      </c>
      <c r="B37" s="16">
        <f>B35+B36+B34</f>
        <v>103.0810546875</v>
      </c>
      <c r="C37" s="16">
        <f>C35+C36+C34</f>
        <v>415.50292968749994</v>
      </c>
    </row>
    <row r="38" spans="1:7" x14ac:dyDescent="0.25">
      <c r="A38" s="18" t="s">
        <v>51</v>
      </c>
      <c r="B38" s="19">
        <f>B37/1024</f>
        <v>0.10066509246826172</v>
      </c>
      <c r="C38" s="19">
        <f>C37/1024</f>
        <v>0.40576457977294916</v>
      </c>
    </row>
    <row r="40" spans="1:7" ht="19.5" customHeight="1" x14ac:dyDescent="0.25">
      <c r="A40" s="3" t="s">
        <v>52</v>
      </c>
      <c r="B40" s="3"/>
      <c r="C40" s="3"/>
      <c r="D40" s="3"/>
      <c r="E40" s="3"/>
      <c r="F40" s="3"/>
      <c r="G40" s="3"/>
    </row>
    <row r="41" spans="1:7" ht="25.5" x14ac:dyDescent="0.25">
      <c r="A41" s="11" t="s">
        <v>42</v>
      </c>
      <c r="B41" s="11" t="s">
        <v>43</v>
      </c>
      <c r="C41" s="11" t="s">
        <v>44</v>
      </c>
    </row>
    <row r="42" spans="1:7" x14ac:dyDescent="0.25">
      <c r="A42" s="6" t="s">
        <v>53</v>
      </c>
      <c r="B42" s="9">
        <f>B38*$B$13</f>
        <v>2.2649645805358884E-3</v>
      </c>
      <c r="C42" s="9">
        <f>C38*$B$13</f>
        <v>9.1297030448913557E-3</v>
      </c>
    </row>
    <row r="43" spans="1:7" x14ac:dyDescent="0.25">
      <c r="A43" s="6" t="s">
        <v>54</v>
      </c>
      <c r="B43" s="20">
        <f>B42*$B$14</f>
        <v>1.1755166172981262E-2</v>
      </c>
      <c r="C43" s="20">
        <f>C42*$B$14</f>
        <v>4.7383158802986138E-2</v>
      </c>
    </row>
    <row r="44" spans="1:7" x14ac:dyDescent="0.25">
      <c r="A44" s="18" t="s">
        <v>55</v>
      </c>
      <c r="B44" s="21">
        <f>B42*12</f>
        <v>2.7179574966430663E-2</v>
      </c>
      <c r="C44" s="21">
        <f>C42*12</f>
        <v>0.10955643653869626</v>
      </c>
    </row>
    <row r="45" spans="1:7" x14ac:dyDescent="0.25">
      <c r="A45" s="18" t="s">
        <v>56</v>
      </c>
      <c r="B45" s="22">
        <f>B43*12</f>
        <v>0.14106199407577513</v>
      </c>
      <c r="C45" s="22">
        <f>C43*12</f>
        <v>0.56859790563583368</v>
      </c>
    </row>
    <row r="47" spans="1:7" ht="19.5" customHeight="1" x14ac:dyDescent="0.25">
      <c r="A47" s="3" t="s">
        <v>57</v>
      </c>
      <c r="B47" s="3"/>
      <c r="C47" s="3"/>
      <c r="D47" s="3"/>
      <c r="E47" s="3"/>
      <c r="F47" s="3"/>
      <c r="G47" s="3"/>
    </row>
    <row r="48" spans="1:7" ht="90" customHeight="1" x14ac:dyDescent="0.25">
      <c r="A48" s="1" t="s">
        <v>58</v>
      </c>
      <c r="B48" s="1"/>
      <c r="C48" s="1"/>
      <c r="D48" s="1"/>
      <c r="E48" s="1"/>
      <c r="F48" s="1"/>
      <c r="G48" s="1"/>
    </row>
    <row r="49" spans="1:7" x14ac:dyDescent="0.25">
      <c r="A49" s="1"/>
      <c r="B49" s="1"/>
      <c r="C49" s="1"/>
      <c r="D49" s="1"/>
      <c r="E49" s="1"/>
      <c r="F49" s="1"/>
      <c r="G49" s="1"/>
    </row>
    <row r="50" spans="1:7" x14ac:dyDescent="0.25">
      <c r="A50" s="1"/>
      <c r="B50" s="1"/>
      <c r="C50" s="1"/>
      <c r="D50" s="1"/>
      <c r="E50" s="1"/>
      <c r="F50" s="1"/>
      <c r="G50" s="1"/>
    </row>
    <row r="51" spans="1:7" x14ac:dyDescent="0.25">
      <c r="A51" s="1"/>
      <c r="B51" s="1"/>
      <c r="C51" s="1"/>
      <c r="D51" s="1"/>
      <c r="E51" s="1"/>
      <c r="F51" s="1"/>
      <c r="G51" s="1"/>
    </row>
  </sheetData>
  <mergeCells count="9">
    <mergeCell ref="A30:G30"/>
    <mergeCell ref="A40:G40"/>
    <mergeCell ref="A47:G47"/>
    <mergeCell ref="A48:G51"/>
    <mergeCell ref="A1:G1"/>
    <mergeCell ref="A4:G4"/>
    <mergeCell ref="A5:G5"/>
    <mergeCell ref="A7:G7"/>
    <mergeCell ref="A16:G16"/>
  </mergeCell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Custo_Databricks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Bruno Queles</cp:lastModifiedBy>
  <cp:revision>0</cp:revision>
  <dcterms:created xsi:type="dcterms:W3CDTF">2026-09-01T20:35:20Z</dcterms:created>
  <dcterms:modified xsi:type="dcterms:W3CDTF">2026-09-01T20:41:37Z</dcterms:modified>
  <dc:language>en-US</dc:language>
</cp:coreProperties>
</file>